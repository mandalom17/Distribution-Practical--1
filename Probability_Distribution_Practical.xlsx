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/>
  <mc:AlternateContent xmlns:mc="http://schemas.openxmlformats.org/markup-compatibility/2006">
    <mc:Choice Requires="x15">
      <x15ac:absPath xmlns:x15ac="http://schemas.microsoft.com/office/spreadsheetml/2010/11/ac" url="https://d.docs.live.net/bb9c9332eebd909d/Documents/"/>
    </mc:Choice>
  </mc:AlternateContent>
  <xr:revisionPtr revIDLastSave="0" documentId="8_{368D1EAA-139D-B14B-935F-590EC1061609}" xr6:coauthVersionLast="47" xr6:coauthVersionMax="47" xr10:uidLastSave="{00000000-0000-0000-0000-000000000000}"/>
  <bookViews>
    <workbookView xWindow="0" yWindow="580" windowWidth="25600" windowHeight="14920" activeTab="2" xr2:uid="{00000000-000D-0000-FFFF-FFFF00000000}"/>
  </bookViews>
  <sheets>
    <sheet name="Q1 - Dice Simulation" sheetId="1" r:id="rId1"/>
    <sheet name="Q2 - Uniform Histogram" sheetId="2" r:id="rId2"/>
    <sheet name="Q7 - Binomial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3" l="1"/>
  <c r="B6" i="3"/>
  <c r="B8" i="3" s="1"/>
  <c r="E5" i="1"/>
  <c r="E6" i="1" s="1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D4" i="2"/>
  <c r="A4" i="2"/>
  <c r="E3" i="1"/>
  <c r="E4" i="1" s="1"/>
  <c r="D8" i="2" l="1"/>
  <c r="D10" i="2"/>
  <c r="D5" i="2"/>
  <c r="D13" i="2"/>
  <c r="D11" i="2"/>
  <c r="D9" i="2"/>
  <c r="D6" i="2"/>
  <c r="D7" i="2"/>
  <c r="D12" i="2"/>
</calcChain>
</file>

<file path=xl/sharedStrings.xml><?xml version="1.0" encoding="utf-8"?>
<sst xmlns="http://schemas.openxmlformats.org/spreadsheetml/2006/main" count="31" uniqueCount="31">
  <si>
    <t>Question 1: Simulate 30 rolls with =RANDBETWEEN(1,6).</t>
  </si>
  <si>
    <t>Roll Number</t>
  </si>
  <si>
    <t>Result</t>
  </si>
  <si>
    <t>Number of 3s</t>
  </si>
  <si>
    <t>Observed proportion</t>
  </si>
  <si>
    <t>Theoretical probability (exactly 5 threes)</t>
  </si>
  <si>
    <t>Theoretical percentage</t>
  </si>
  <si>
    <t>Question 2: Generate 100 values using RAND() and plot a histogram.</t>
  </si>
  <si>
    <t>Value</t>
  </si>
  <si>
    <t>Bin</t>
  </si>
  <si>
    <t>Frequency</t>
  </si>
  <si>
    <t>0.0-0.1</t>
  </si>
  <si>
    <t>0.1-0.2</t>
  </si>
  <si>
    <t>0.2-0.3</t>
  </si>
  <si>
    <t>0.3-0.4</t>
  </si>
  <si>
    <t>0.4-0.5</t>
  </si>
  <si>
    <t>0.5-0.6</t>
  </si>
  <si>
    <t>0.6-0.7</t>
  </si>
  <si>
    <t>0.7-0.8</t>
  </si>
  <si>
    <t>0.8-0.9</t>
  </si>
  <si>
    <t>0.9-1.0</t>
  </si>
  <si>
    <t>Description:</t>
  </si>
  <si>
    <t>The histogram should be approximately uniform, with values spread fairly evenly between 0 and 1.</t>
  </si>
  <si>
    <t>Question 7: Probability of at least 8 successes in 15 trials, p = 0.5</t>
  </si>
  <si>
    <t>Number of trials (n)</t>
  </si>
  <si>
    <t>Success probability (p)</t>
  </si>
  <si>
    <t>Required successes</t>
  </si>
  <si>
    <t>At least 8</t>
  </si>
  <si>
    <t>Excel formula</t>
  </si>
  <si>
    <t>Probability</t>
  </si>
  <si>
    <t>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</si>
</sst>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top"/>
    </xf>
    <xf numFmtId="0" fontId="0" fillId="0" borderId="0" xfId="0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IN"/>
              <a:t>Histogram of 100 RAND() Values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'Q2 - Uniform Histogram'!$D$3</c:f>
              <c:strCache>
                <c:ptCount val="1"/>
                <c:pt idx="0">
                  <c:v>Frequency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'Q2 - Uniform Histogram'!$C$4:$C$13</c:f>
              <c:strCache>
                <c:ptCount val="10"/>
                <c:pt idx="0">
                  <c:v>0.0-0.1</c:v>
                </c:pt>
                <c:pt idx="1">
                  <c:v>0.1-0.2</c:v>
                </c:pt>
                <c:pt idx="2">
                  <c:v>0.2-0.3</c:v>
                </c:pt>
                <c:pt idx="3">
                  <c:v>0.3-0.4</c:v>
                </c:pt>
                <c:pt idx="4">
                  <c:v>0.4-0.5</c:v>
                </c:pt>
                <c:pt idx="5">
                  <c:v>0.5-0.6</c:v>
                </c:pt>
                <c:pt idx="6">
                  <c:v>0.6-0.7</c:v>
                </c:pt>
                <c:pt idx="7">
                  <c:v>0.7-0.8</c:v>
                </c:pt>
                <c:pt idx="8">
                  <c:v>0.8-0.9</c:v>
                </c:pt>
                <c:pt idx="9">
                  <c:v>0.9-1.0</c:v>
                </c:pt>
              </c:strCache>
            </c:strRef>
          </c:cat>
          <c:val>
            <c:numRef>
              <c:f>'Q2 - Uniform Histogram'!$D$4:$D$13</c:f>
              <c:numCache>
                <c:formatCode>General</c:formatCode>
                <c:ptCount val="10"/>
                <c:pt idx="0">
                  <c:v>6</c:v>
                </c:pt>
                <c:pt idx="1">
                  <c:v>10</c:v>
                </c:pt>
                <c:pt idx="2">
                  <c:v>14</c:v>
                </c:pt>
                <c:pt idx="3">
                  <c:v>12</c:v>
                </c:pt>
                <c:pt idx="4">
                  <c:v>9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16</c:v>
                </c:pt>
                <c:pt idx="9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50-CC42-AFDD-8CEC7A05A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Value Range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Frequency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2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3"/>
  <sheetViews>
    <sheetView workbookViewId="0">
      <pane ySplit="3" topLeftCell="A4" activePane="bottomLeft" state="frozen"/>
      <selection pane="bottomLeft" activeCell="E5" sqref="E5"/>
    </sheetView>
  </sheetViews>
  <sheetFormatPr baseColWidth="10" defaultColWidth="8.83203125" defaultRowHeight="15" x14ac:dyDescent="0.2"/>
  <cols>
    <col min="1" max="1" width="45" customWidth="1"/>
    <col min="2" max="3" width="12" customWidth="1"/>
    <col min="4" max="4" width="44" customWidth="1"/>
    <col min="5" max="5" width="29" customWidth="1"/>
  </cols>
  <sheetData>
    <row r="1" spans="1:5" x14ac:dyDescent="0.2">
      <c r="A1" s="1" t="s">
        <v>0</v>
      </c>
      <c r="B1" s="2"/>
      <c r="C1" s="2"/>
      <c r="D1" s="2"/>
      <c r="E1" s="2"/>
    </row>
    <row r="2" spans="1:5" x14ac:dyDescent="0.2">
      <c r="A2" s="2"/>
      <c r="B2" s="2"/>
      <c r="C2" s="2"/>
      <c r="D2" s="2"/>
      <c r="E2" s="2"/>
    </row>
    <row r="3" spans="1:5" x14ac:dyDescent="0.2">
      <c r="A3" s="1" t="s">
        <v>1</v>
      </c>
      <c r="B3" s="1" t="s">
        <v>2</v>
      </c>
      <c r="C3" s="2"/>
      <c r="D3" s="1" t="s">
        <v>3</v>
      </c>
      <c r="E3" s="2">
        <f>COUNTIF(B4:B33,3)</f>
        <v>6</v>
      </c>
    </row>
    <row r="4" spans="1:5" x14ac:dyDescent="0.2">
      <c r="A4" s="2">
        <v>1</v>
      </c>
      <c r="B4" s="2">
        <v>1</v>
      </c>
      <c r="C4" s="2"/>
      <c r="D4" s="1" t="s">
        <v>4</v>
      </c>
      <c r="E4" s="2">
        <f>E3/30</f>
        <v>0.2</v>
      </c>
    </row>
    <row r="5" spans="1:5" x14ac:dyDescent="0.2">
      <c r="A5" s="2">
        <v>2</v>
      </c>
      <c r="B5" s="2">
        <v>3</v>
      </c>
      <c r="C5" s="2"/>
      <c r="D5" s="1" t="s">
        <v>5</v>
      </c>
      <c r="E5" s="2">
        <f>_xlfn.BINOM.DIST(5,30,1/6,FALSE)</f>
        <v>0.19210813105163416</v>
      </c>
    </row>
    <row r="6" spans="1:5" x14ac:dyDescent="0.2">
      <c r="A6" s="2">
        <v>3</v>
      </c>
      <c r="B6" s="2">
        <v>6</v>
      </c>
      <c r="C6" s="2"/>
      <c r="D6" s="1" t="s">
        <v>6</v>
      </c>
      <c r="E6" s="2">
        <f>E5*100</f>
        <v>19.210813105163417</v>
      </c>
    </row>
    <row r="7" spans="1:5" x14ac:dyDescent="0.2">
      <c r="A7" s="2">
        <v>4</v>
      </c>
      <c r="B7" s="2">
        <v>2</v>
      </c>
      <c r="C7" s="2"/>
      <c r="D7" s="2"/>
      <c r="E7" s="2"/>
    </row>
    <row r="8" spans="1:5" x14ac:dyDescent="0.2">
      <c r="A8" s="2">
        <v>5</v>
      </c>
      <c r="B8" s="2">
        <v>5</v>
      </c>
      <c r="C8" s="2"/>
      <c r="D8" s="2"/>
      <c r="E8" s="2"/>
    </row>
    <row r="9" spans="1:5" x14ac:dyDescent="0.2">
      <c r="A9" s="2">
        <v>6</v>
      </c>
      <c r="B9" s="2">
        <v>3</v>
      </c>
      <c r="C9" s="2"/>
      <c r="D9" s="2"/>
      <c r="E9" s="2"/>
    </row>
    <row r="10" spans="1:5" x14ac:dyDescent="0.2">
      <c r="A10" s="2">
        <v>7</v>
      </c>
      <c r="B10" s="2">
        <v>4</v>
      </c>
      <c r="C10" s="2"/>
      <c r="D10" s="2"/>
      <c r="E10" s="2"/>
    </row>
    <row r="11" spans="1:5" x14ac:dyDescent="0.2">
      <c r="A11" s="2">
        <v>8</v>
      </c>
      <c r="B11" s="2">
        <v>1</v>
      </c>
      <c r="C11" s="2"/>
      <c r="D11" s="2"/>
      <c r="E11" s="2"/>
    </row>
    <row r="12" spans="1:5" x14ac:dyDescent="0.2">
      <c r="A12" s="2">
        <v>9</v>
      </c>
      <c r="B12" s="2">
        <v>6</v>
      </c>
      <c r="C12" s="2"/>
      <c r="D12" s="2"/>
      <c r="E12" s="2"/>
    </row>
    <row r="13" spans="1:5" x14ac:dyDescent="0.2">
      <c r="A13" s="2">
        <v>10</v>
      </c>
      <c r="B13" s="2">
        <v>3</v>
      </c>
      <c r="C13" s="2"/>
      <c r="D13" s="2"/>
      <c r="E13" s="2"/>
    </row>
    <row r="14" spans="1:5" x14ac:dyDescent="0.2">
      <c r="A14" s="2">
        <v>11</v>
      </c>
      <c r="B14" s="2">
        <v>2</v>
      </c>
      <c r="C14" s="2"/>
      <c r="D14" s="2"/>
      <c r="E14" s="2"/>
    </row>
    <row r="15" spans="1:5" x14ac:dyDescent="0.2">
      <c r="A15" s="2">
        <v>12</v>
      </c>
      <c r="B15" s="2">
        <v>5</v>
      </c>
      <c r="C15" s="2"/>
      <c r="D15" s="2"/>
      <c r="E15" s="2"/>
    </row>
    <row r="16" spans="1:5" x14ac:dyDescent="0.2">
      <c r="A16" s="2">
        <v>13</v>
      </c>
      <c r="B16" s="2">
        <v>4</v>
      </c>
      <c r="C16" s="2"/>
      <c r="D16" s="2"/>
      <c r="E16" s="2"/>
    </row>
    <row r="17" spans="1:5" x14ac:dyDescent="0.2">
      <c r="A17" s="2">
        <v>14</v>
      </c>
      <c r="B17" s="2">
        <v>6</v>
      </c>
      <c r="C17" s="2"/>
      <c r="D17" s="2"/>
      <c r="E17" s="2"/>
    </row>
    <row r="18" spans="1:5" x14ac:dyDescent="0.2">
      <c r="A18" s="2">
        <v>15</v>
      </c>
      <c r="B18" s="2">
        <v>1</v>
      </c>
      <c r="C18" s="2"/>
      <c r="D18" s="2"/>
      <c r="E18" s="2"/>
    </row>
    <row r="19" spans="1:5" x14ac:dyDescent="0.2">
      <c r="A19" s="2">
        <v>16</v>
      </c>
      <c r="B19" s="2">
        <v>3</v>
      </c>
      <c r="C19" s="2"/>
      <c r="D19" s="2"/>
      <c r="E19" s="2"/>
    </row>
    <row r="20" spans="1:5" x14ac:dyDescent="0.2">
      <c r="A20" s="2">
        <v>17</v>
      </c>
      <c r="B20" s="2">
        <v>5</v>
      </c>
      <c r="C20" s="2"/>
      <c r="D20" s="2"/>
      <c r="E20" s="2"/>
    </row>
    <row r="21" spans="1:5" x14ac:dyDescent="0.2">
      <c r="A21" s="2">
        <v>18</v>
      </c>
      <c r="B21" s="2">
        <v>2</v>
      </c>
      <c r="C21" s="2"/>
      <c r="D21" s="2"/>
      <c r="E21" s="2"/>
    </row>
    <row r="22" spans="1:5" x14ac:dyDescent="0.2">
      <c r="A22" s="2">
        <v>19</v>
      </c>
      <c r="B22" s="2">
        <v>4</v>
      </c>
      <c r="C22" s="2"/>
      <c r="D22" s="2"/>
      <c r="E22" s="2"/>
    </row>
    <row r="23" spans="1:5" x14ac:dyDescent="0.2">
      <c r="A23" s="2">
        <v>20</v>
      </c>
      <c r="B23" s="2">
        <v>6</v>
      </c>
      <c r="C23" s="2"/>
      <c r="D23" s="2"/>
      <c r="E23" s="2"/>
    </row>
    <row r="24" spans="1:5" x14ac:dyDescent="0.2">
      <c r="A24" s="2">
        <v>21</v>
      </c>
      <c r="B24" s="2">
        <v>1</v>
      </c>
      <c r="C24" s="2"/>
      <c r="D24" s="2"/>
      <c r="E24" s="2"/>
    </row>
    <row r="25" spans="1:5" x14ac:dyDescent="0.2">
      <c r="A25" s="2">
        <v>22</v>
      </c>
      <c r="B25" s="2">
        <v>5</v>
      </c>
      <c r="C25" s="2"/>
      <c r="D25" s="2"/>
      <c r="E25" s="2"/>
    </row>
    <row r="26" spans="1:5" x14ac:dyDescent="0.2">
      <c r="A26" s="2">
        <v>23</v>
      </c>
      <c r="B26" s="2">
        <v>3</v>
      </c>
      <c r="C26" s="2"/>
      <c r="D26" s="2"/>
      <c r="E26" s="2"/>
    </row>
    <row r="27" spans="1:5" x14ac:dyDescent="0.2">
      <c r="A27" s="2">
        <v>24</v>
      </c>
      <c r="B27" s="2">
        <v>2</v>
      </c>
      <c r="C27" s="2"/>
      <c r="D27" s="2"/>
      <c r="E27" s="2"/>
    </row>
    <row r="28" spans="1:5" x14ac:dyDescent="0.2">
      <c r="A28" s="2">
        <v>25</v>
      </c>
      <c r="B28" s="2">
        <v>4</v>
      </c>
      <c r="C28" s="2"/>
      <c r="D28" s="2"/>
      <c r="E28" s="2"/>
    </row>
    <row r="29" spans="1:5" x14ac:dyDescent="0.2">
      <c r="A29" s="2">
        <v>26</v>
      </c>
      <c r="B29" s="2">
        <v>6</v>
      </c>
      <c r="C29" s="2"/>
      <c r="D29" s="2"/>
      <c r="E29" s="2"/>
    </row>
    <row r="30" spans="1:5" x14ac:dyDescent="0.2">
      <c r="A30" s="2">
        <v>27</v>
      </c>
      <c r="B30" s="2">
        <v>1</v>
      </c>
      <c r="C30" s="2"/>
      <c r="D30" s="2"/>
      <c r="E30" s="2"/>
    </row>
    <row r="31" spans="1:5" x14ac:dyDescent="0.2">
      <c r="A31" s="2">
        <v>28</v>
      </c>
      <c r="B31" s="2">
        <v>5</v>
      </c>
      <c r="C31" s="2"/>
      <c r="D31" s="2"/>
      <c r="E31" s="2"/>
    </row>
    <row r="32" spans="1:5" x14ac:dyDescent="0.2">
      <c r="A32" s="2">
        <v>29</v>
      </c>
      <c r="B32" s="2">
        <v>4</v>
      </c>
      <c r="C32" s="2"/>
      <c r="D32" s="2"/>
      <c r="E32" s="2"/>
    </row>
    <row r="33" spans="1:5" x14ac:dyDescent="0.2">
      <c r="A33" s="2">
        <v>30</v>
      </c>
      <c r="B33" s="2">
        <v>3</v>
      </c>
      <c r="C33" s="2"/>
      <c r="D33" s="2"/>
      <c r="E33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3"/>
  <sheetViews>
    <sheetView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45" customWidth="1"/>
    <col min="2" max="2" width="12" customWidth="1"/>
    <col min="3" max="4" width="45" customWidth="1"/>
  </cols>
  <sheetData>
    <row r="1" spans="1:4" x14ac:dyDescent="0.2">
      <c r="A1" s="1" t="s">
        <v>7</v>
      </c>
      <c r="B1" s="2"/>
      <c r="C1" s="2"/>
      <c r="D1" s="2"/>
    </row>
    <row r="2" spans="1:4" x14ac:dyDescent="0.2">
      <c r="A2" s="2"/>
      <c r="B2" s="2"/>
      <c r="C2" s="2"/>
      <c r="D2" s="2"/>
    </row>
    <row r="3" spans="1:4" x14ac:dyDescent="0.2">
      <c r="A3" s="1" t="s">
        <v>8</v>
      </c>
      <c r="B3" s="2"/>
      <c r="C3" s="1" t="s">
        <v>9</v>
      </c>
      <c r="D3" s="1" t="s">
        <v>10</v>
      </c>
    </row>
    <row r="4" spans="1:4" x14ac:dyDescent="0.2">
      <c r="A4" s="2">
        <f t="shared" ref="A4:A35" ca="1" si="0">RAND()</f>
        <v>0.23316186237370595</v>
      </c>
      <c r="B4" s="2"/>
      <c r="C4" s="2" t="s">
        <v>11</v>
      </c>
      <c r="D4" s="2">
        <f ca="1">COUNTIFS($A$4:$A$103,"&gt;=0.0",$A$4:$A$103,"&lt;0.1")</f>
        <v>6</v>
      </c>
    </row>
    <row r="5" spans="1:4" x14ac:dyDescent="0.2">
      <c r="A5" s="2">
        <f t="shared" ca="1" si="0"/>
        <v>8.3571174570846951E-2</v>
      </c>
      <c r="B5" s="2"/>
      <c r="C5" s="2" t="s">
        <v>12</v>
      </c>
      <c r="D5" s="2">
        <f ca="1">COUNTIFS($A$4:$A$103,"&gt;=0.1",$A$4:$A$103,"&lt;0.2")</f>
        <v>10</v>
      </c>
    </row>
    <row r="6" spans="1:4" x14ac:dyDescent="0.2">
      <c r="A6" s="2">
        <f t="shared" ca="1" si="0"/>
        <v>0.27199513117279051</v>
      </c>
      <c r="B6" s="2"/>
      <c r="C6" s="2" t="s">
        <v>13</v>
      </c>
      <c r="D6" s="2">
        <f ca="1">COUNTIFS($A$4:$A$103,"&gt;=0.2",$A$4:$A$103,"&lt;0.3")</f>
        <v>14</v>
      </c>
    </row>
    <row r="7" spans="1:4" x14ac:dyDescent="0.2">
      <c r="A7" s="2">
        <f t="shared" ca="1" si="0"/>
        <v>0.97727267521979289</v>
      </c>
      <c r="B7" s="2"/>
      <c r="C7" s="2" t="s">
        <v>14</v>
      </c>
      <c r="D7" s="2">
        <f ca="1">COUNTIFS($A$4:$A$103,"&gt;=0.3",$A$4:$A$103,"&lt;0.4")</f>
        <v>12</v>
      </c>
    </row>
    <row r="8" spans="1:4" x14ac:dyDescent="0.2">
      <c r="A8" s="2">
        <f t="shared" ca="1" si="0"/>
        <v>0.84496382845058515</v>
      </c>
      <c r="B8" s="2"/>
      <c r="C8" s="2" t="s">
        <v>15</v>
      </c>
      <c r="D8" s="2">
        <f ca="1">COUNTIFS($A$4:$A$103,"&gt;=0.4",$A$4:$A$103,"&lt;0.5")</f>
        <v>9</v>
      </c>
    </row>
    <row r="9" spans="1:4" x14ac:dyDescent="0.2">
      <c r="A9" s="2">
        <f t="shared" ca="1" si="0"/>
        <v>0.3325256827657106</v>
      </c>
      <c r="B9" s="2"/>
      <c r="C9" s="2" t="s">
        <v>16</v>
      </c>
      <c r="D9" s="2">
        <f ca="1">COUNTIFS($A$4:$A$103,"&gt;=0.5",$A$4:$A$103,"&lt;0.6")</f>
        <v>7</v>
      </c>
    </row>
    <row r="10" spans="1:4" x14ac:dyDescent="0.2">
      <c r="A10" s="2">
        <f t="shared" ca="1" si="0"/>
        <v>0.23332662171981711</v>
      </c>
      <c r="B10" s="2"/>
      <c r="C10" s="2" t="s">
        <v>17</v>
      </c>
      <c r="D10" s="2">
        <f ca="1">COUNTIFS($A$4:$A$103,"&gt;=0.6",$A$4:$A$103,"&lt;0.7")</f>
        <v>8</v>
      </c>
    </row>
    <row r="11" spans="1:4" x14ac:dyDescent="0.2">
      <c r="A11" s="2">
        <f t="shared" ca="1" si="0"/>
        <v>0.26531882477396163</v>
      </c>
      <c r="B11" s="2"/>
      <c r="C11" s="2" t="s">
        <v>18</v>
      </c>
      <c r="D11" s="2">
        <f ca="1">COUNTIFS($A$4:$A$103,"&gt;=0.7",$A$4:$A$103,"&lt;0.8")</f>
        <v>9</v>
      </c>
    </row>
    <row r="12" spans="1:4" x14ac:dyDescent="0.2">
      <c r="A12" s="2">
        <f t="shared" ca="1" si="0"/>
        <v>0.86636090187417725</v>
      </c>
      <c r="B12" s="2"/>
      <c r="C12" s="2" t="s">
        <v>19</v>
      </c>
      <c r="D12" s="2">
        <f ca="1">COUNTIFS($A$4:$A$103,"&gt;=0.8",$A$4:$A$103,"&lt;0.9")</f>
        <v>16</v>
      </c>
    </row>
    <row r="13" spans="1:4" x14ac:dyDescent="0.2">
      <c r="A13" s="2">
        <f t="shared" ca="1" si="0"/>
        <v>0.67525066774968512</v>
      </c>
      <c r="B13" s="2"/>
      <c r="C13" s="2" t="s">
        <v>20</v>
      </c>
      <c r="D13" s="2">
        <f ca="1">COUNTIFS($A$4:$A$103,"&gt;=0.9",$A$4:$A$103,"&lt;=1.0")</f>
        <v>9</v>
      </c>
    </row>
    <row r="14" spans="1:4" x14ac:dyDescent="0.2">
      <c r="A14" s="2">
        <f t="shared" ca="1" si="0"/>
        <v>0.38468529483097202</v>
      </c>
      <c r="B14" s="2"/>
      <c r="C14" s="2"/>
      <c r="D14" s="2"/>
    </row>
    <row r="15" spans="1:4" x14ac:dyDescent="0.2">
      <c r="A15" s="2">
        <f t="shared" ca="1" si="0"/>
        <v>0.20948023015060369</v>
      </c>
      <c r="B15" s="2"/>
      <c r="C15" s="2"/>
      <c r="D15" s="2"/>
    </row>
    <row r="16" spans="1:4" x14ac:dyDescent="0.2">
      <c r="A16" s="2">
        <f t="shared" ca="1" si="0"/>
        <v>0.60457353329443642</v>
      </c>
      <c r="B16" s="2"/>
      <c r="C16" s="1" t="s">
        <v>21</v>
      </c>
      <c r="D16" s="2"/>
    </row>
    <row r="17" spans="1:4" x14ac:dyDescent="0.2">
      <c r="A17" s="2">
        <f t="shared" ca="1" si="0"/>
        <v>0.61730892958883743</v>
      </c>
      <c r="B17" s="2"/>
      <c r="C17" s="2" t="s">
        <v>22</v>
      </c>
      <c r="D17" s="2"/>
    </row>
    <row r="18" spans="1:4" x14ac:dyDescent="0.2">
      <c r="A18" s="2">
        <f t="shared" ca="1" si="0"/>
        <v>0.6072312419468896</v>
      </c>
      <c r="B18" s="2"/>
      <c r="C18" s="2"/>
      <c r="D18" s="2"/>
    </row>
    <row r="19" spans="1:4" x14ac:dyDescent="0.2">
      <c r="A19" s="2">
        <f t="shared" ca="1" si="0"/>
        <v>0.39193328078306466</v>
      </c>
      <c r="B19" s="2"/>
      <c r="C19" s="2"/>
      <c r="D19" s="2"/>
    </row>
    <row r="20" spans="1:4" x14ac:dyDescent="0.2">
      <c r="A20" s="2">
        <f t="shared" ca="1" si="0"/>
        <v>0.45661221669877017</v>
      </c>
      <c r="B20" s="2"/>
      <c r="C20" s="2"/>
      <c r="D20" s="2"/>
    </row>
    <row r="21" spans="1:4" x14ac:dyDescent="0.2">
      <c r="A21" s="2">
        <f t="shared" ca="1" si="0"/>
        <v>0.80688398077619072</v>
      </c>
      <c r="B21" s="2"/>
      <c r="C21" s="2"/>
      <c r="D21" s="2"/>
    </row>
    <row r="22" spans="1:4" x14ac:dyDescent="0.2">
      <c r="A22" s="2">
        <f t="shared" ca="1" si="0"/>
        <v>0.93624306122677858</v>
      </c>
      <c r="B22" s="2"/>
      <c r="C22" s="2"/>
      <c r="D22" s="2"/>
    </row>
    <row r="23" spans="1:4" x14ac:dyDescent="0.2">
      <c r="A23" s="2">
        <f t="shared" ca="1" si="0"/>
        <v>5.1975126338549171E-2</v>
      </c>
      <c r="B23" s="2"/>
      <c r="C23" s="2"/>
      <c r="D23" s="2"/>
    </row>
    <row r="24" spans="1:4" x14ac:dyDescent="0.2">
      <c r="A24" s="2">
        <f t="shared" ca="1" si="0"/>
        <v>0.37615389521694409</v>
      </c>
      <c r="B24" s="2"/>
      <c r="C24" s="2"/>
      <c r="D24" s="2"/>
    </row>
    <row r="25" spans="1:4" x14ac:dyDescent="0.2">
      <c r="A25" s="2">
        <f t="shared" ca="1" si="0"/>
        <v>0.11653667033710213</v>
      </c>
      <c r="B25" s="2"/>
      <c r="C25" s="2"/>
      <c r="D25" s="2"/>
    </row>
    <row r="26" spans="1:4" x14ac:dyDescent="0.2">
      <c r="A26" s="2">
        <f t="shared" ca="1" si="0"/>
        <v>0.23338027814458795</v>
      </c>
      <c r="B26" s="2"/>
      <c r="C26" s="2"/>
      <c r="D26" s="2"/>
    </row>
    <row r="27" spans="1:4" x14ac:dyDescent="0.2">
      <c r="A27" s="2">
        <f t="shared" ca="1" si="0"/>
        <v>0.9456852594843248</v>
      </c>
      <c r="B27" s="2"/>
      <c r="C27" s="2"/>
      <c r="D27" s="2"/>
    </row>
    <row r="28" spans="1:4" x14ac:dyDescent="0.2">
      <c r="A28" s="2">
        <f t="shared" ca="1" si="0"/>
        <v>0.44075128462641355</v>
      </c>
      <c r="B28" s="2"/>
      <c r="C28" s="2"/>
      <c r="D28" s="2"/>
    </row>
    <row r="29" spans="1:4" x14ac:dyDescent="0.2">
      <c r="A29" s="2">
        <f t="shared" ca="1" si="0"/>
        <v>0.28350538448010987</v>
      </c>
      <c r="B29" s="2"/>
      <c r="C29" s="2"/>
      <c r="D29" s="2"/>
    </row>
    <row r="30" spans="1:4" x14ac:dyDescent="0.2">
      <c r="A30" s="2">
        <f t="shared" ca="1" si="0"/>
        <v>0.80247563076005735</v>
      </c>
      <c r="B30" s="2"/>
      <c r="C30" s="2"/>
      <c r="D30" s="2"/>
    </row>
    <row r="31" spans="1:4" x14ac:dyDescent="0.2">
      <c r="A31" s="2">
        <f t="shared" ca="1" si="0"/>
        <v>0.20495489489059671</v>
      </c>
      <c r="B31" s="2"/>
      <c r="C31" s="2"/>
      <c r="D31" s="2"/>
    </row>
    <row r="32" spans="1:4" x14ac:dyDescent="0.2">
      <c r="A32" s="2">
        <f t="shared" ca="1" si="0"/>
        <v>0.13563621089020328</v>
      </c>
      <c r="B32" s="2"/>
      <c r="C32" s="2"/>
      <c r="D32" s="2"/>
    </row>
    <row r="33" spans="1:4" x14ac:dyDescent="0.2">
      <c r="A33" s="2">
        <f t="shared" ca="1" si="0"/>
        <v>0.28526491632763407</v>
      </c>
      <c r="B33" s="2"/>
      <c r="C33" s="2"/>
      <c r="D33" s="2"/>
    </row>
    <row r="34" spans="1:4" x14ac:dyDescent="0.2">
      <c r="A34" s="2">
        <f t="shared" ca="1" si="0"/>
        <v>0.8773631229996901</v>
      </c>
      <c r="B34" s="2"/>
      <c r="C34" s="2"/>
      <c r="D34" s="2"/>
    </row>
    <row r="35" spans="1:4" x14ac:dyDescent="0.2">
      <c r="A35" s="2">
        <f t="shared" ca="1" si="0"/>
        <v>0.26667529302312676</v>
      </c>
      <c r="B35" s="2"/>
      <c r="C35" s="2"/>
      <c r="D35" s="2"/>
    </row>
    <row r="36" spans="1:4" x14ac:dyDescent="0.2">
      <c r="A36" s="2">
        <f t="shared" ref="A36:A67" ca="1" si="1">RAND()</f>
        <v>0.39215473718747018</v>
      </c>
      <c r="B36" s="2"/>
      <c r="C36" s="2"/>
      <c r="D36" s="2"/>
    </row>
    <row r="37" spans="1:4" x14ac:dyDescent="0.2">
      <c r="A37" s="2">
        <f t="shared" ca="1" si="1"/>
        <v>0.49306850216241438</v>
      </c>
      <c r="B37" s="2"/>
      <c r="C37" s="2"/>
      <c r="D37" s="2"/>
    </row>
    <row r="38" spans="1:4" x14ac:dyDescent="0.2">
      <c r="A38" s="2">
        <f t="shared" ca="1" si="1"/>
        <v>0.74704258866855067</v>
      </c>
      <c r="B38" s="2"/>
      <c r="C38" s="2"/>
      <c r="D38" s="2"/>
    </row>
    <row r="39" spans="1:4" x14ac:dyDescent="0.2">
      <c r="A39" s="2">
        <f t="shared" ca="1" si="1"/>
        <v>0.60745665316991282</v>
      </c>
      <c r="B39" s="2"/>
      <c r="C39" s="2"/>
      <c r="D39" s="2"/>
    </row>
    <row r="40" spans="1:4" x14ac:dyDescent="0.2">
      <c r="A40" s="2">
        <f t="shared" ca="1" si="1"/>
        <v>0.32331762257711261</v>
      </c>
      <c r="B40" s="2"/>
      <c r="C40" s="2"/>
      <c r="D40" s="2"/>
    </row>
    <row r="41" spans="1:4" x14ac:dyDescent="0.2">
      <c r="A41" s="2">
        <f t="shared" ca="1" si="1"/>
        <v>0.41968913920728568</v>
      </c>
      <c r="B41" s="2"/>
      <c r="C41" s="2"/>
      <c r="D41" s="2"/>
    </row>
    <row r="42" spans="1:4" x14ac:dyDescent="0.2">
      <c r="A42" s="2">
        <f t="shared" ca="1" si="1"/>
        <v>0.32237621802351712</v>
      </c>
      <c r="B42" s="2"/>
      <c r="C42" s="2"/>
      <c r="D42" s="2"/>
    </row>
    <row r="43" spans="1:4" x14ac:dyDescent="0.2">
      <c r="A43" s="2">
        <f t="shared" ca="1" si="1"/>
        <v>0.89159268173977624</v>
      </c>
      <c r="B43" s="2"/>
      <c r="C43" s="2"/>
      <c r="D43" s="2"/>
    </row>
    <row r="44" spans="1:4" x14ac:dyDescent="0.2">
      <c r="A44" s="2">
        <f t="shared" ca="1" si="1"/>
        <v>0.34117051457612113</v>
      </c>
      <c r="B44" s="2"/>
      <c r="C44" s="2"/>
      <c r="D44" s="2"/>
    </row>
    <row r="45" spans="1:4" x14ac:dyDescent="0.2">
      <c r="A45" s="2">
        <f t="shared" ca="1" si="1"/>
        <v>0.42913183190525483</v>
      </c>
      <c r="B45" s="2"/>
      <c r="C45" s="2"/>
      <c r="D45" s="2"/>
    </row>
    <row r="46" spans="1:4" x14ac:dyDescent="0.2">
      <c r="A46" s="2">
        <f t="shared" ca="1" si="1"/>
        <v>0.38403274473224358</v>
      </c>
      <c r="B46" s="2"/>
      <c r="C46" s="2"/>
      <c r="D46" s="2"/>
    </row>
    <row r="47" spans="1:4" x14ac:dyDescent="0.2">
      <c r="A47" s="2">
        <f t="shared" ca="1" si="1"/>
        <v>0.46161717102556599</v>
      </c>
      <c r="B47" s="2"/>
      <c r="C47" s="2"/>
      <c r="D47" s="2"/>
    </row>
    <row r="48" spans="1:4" x14ac:dyDescent="0.2">
      <c r="A48" s="2">
        <f t="shared" ca="1" si="1"/>
        <v>0.74539264663250038</v>
      </c>
      <c r="B48" s="2"/>
      <c r="C48" s="2"/>
      <c r="D48" s="2"/>
    </row>
    <row r="49" spans="1:4" x14ac:dyDescent="0.2">
      <c r="A49" s="2">
        <f t="shared" ca="1" si="1"/>
        <v>0.78108512171362854</v>
      </c>
      <c r="B49" s="2"/>
      <c r="C49" s="2"/>
      <c r="D49" s="2"/>
    </row>
    <row r="50" spans="1:4" x14ac:dyDescent="0.2">
      <c r="A50" s="2">
        <f t="shared" ca="1" si="1"/>
        <v>0.40514603081985134</v>
      </c>
      <c r="B50" s="2"/>
      <c r="C50" s="2"/>
      <c r="D50" s="2"/>
    </row>
    <row r="51" spans="1:4" x14ac:dyDescent="0.2">
      <c r="A51" s="2">
        <f t="shared" ca="1" si="1"/>
        <v>0.59453560046611387</v>
      </c>
      <c r="B51" s="2"/>
      <c r="C51" s="2"/>
      <c r="D51" s="2"/>
    </row>
    <row r="52" spans="1:4" x14ac:dyDescent="0.2">
      <c r="A52" s="2">
        <f t="shared" ca="1" si="1"/>
        <v>0.76009321739339064</v>
      </c>
      <c r="B52" s="2"/>
      <c r="C52" s="2"/>
      <c r="D52" s="2"/>
    </row>
    <row r="53" spans="1:4" x14ac:dyDescent="0.2">
      <c r="A53" s="2">
        <f t="shared" ca="1" si="1"/>
        <v>5.222037373100552E-2</v>
      </c>
      <c r="B53" s="2"/>
      <c r="C53" s="2"/>
      <c r="D53" s="2"/>
    </row>
    <row r="54" spans="1:4" x14ac:dyDescent="0.2">
      <c r="A54" s="2">
        <f t="shared" ca="1" si="1"/>
        <v>0.17464159352152764</v>
      </c>
      <c r="B54" s="2"/>
      <c r="C54" s="2"/>
      <c r="D54" s="2"/>
    </row>
    <row r="55" spans="1:4" x14ac:dyDescent="0.2">
      <c r="A55" s="2">
        <f t="shared" ca="1" si="1"/>
        <v>0.52718875966663481</v>
      </c>
      <c r="B55" s="2"/>
      <c r="C55" s="2"/>
      <c r="D55" s="2"/>
    </row>
    <row r="56" spans="1:4" x14ac:dyDescent="0.2">
      <c r="A56" s="2">
        <f t="shared" ca="1" si="1"/>
        <v>0.7816443073297058</v>
      </c>
      <c r="B56" s="2"/>
      <c r="C56" s="2"/>
      <c r="D56" s="2"/>
    </row>
    <row r="57" spans="1:4" x14ac:dyDescent="0.2">
      <c r="A57" s="2">
        <f t="shared" ca="1" si="1"/>
        <v>0.16386747881999753</v>
      </c>
      <c r="B57" s="2"/>
      <c r="C57" s="2"/>
      <c r="D57" s="2"/>
    </row>
    <row r="58" spans="1:4" x14ac:dyDescent="0.2">
      <c r="A58" s="2">
        <f t="shared" ca="1" si="1"/>
        <v>0.61409433580418527</v>
      </c>
      <c r="B58" s="2"/>
      <c r="C58" s="2"/>
      <c r="D58" s="2"/>
    </row>
    <row r="59" spans="1:4" x14ac:dyDescent="0.2">
      <c r="A59" s="2">
        <f t="shared" ca="1" si="1"/>
        <v>0.90534880108332116</v>
      </c>
      <c r="B59" s="2"/>
      <c r="C59" s="2"/>
      <c r="D59" s="2"/>
    </row>
    <row r="60" spans="1:4" x14ac:dyDescent="0.2">
      <c r="A60" s="2">
        <f t="shared" ca="1" si="1"/>
        <v>0.83949832399161028</v>
      </c>
      <c r="B60" s="2"/>
      <c r="C60" s="2"/>
      <c r="D60" s="2"/>
    </row>
    <row r="61" spans="1:4" x14ac:dyDescent="0.2">
      <c r="A61" s="2">
        <f t="shared" ca="1" si="1"/>
        <v>0.38559215966538107</v>
      </c>
      <c r="B61" s="2"/>
      <c r="C61" s="2"/>
      <c r="D61" s="2"/>
    </row>
    <row r="62" spans="1:4" x14ac:dyDescent="0.2">
      <c r="A62" s="2">
        <f t="shared" ca="1" si="1"/>
        <v>0.92321789477734151</v>
      </c>
      <c r="B62" s="2"/>
      <c r="C62" s="2"/>
      <c r="D62" s="2"/>
    </row>
    <row r="63" spans="1:4" x14ac:dyDescent="0.2">
      <c r="A63" s="2">
        <f t="shared" ca="1" si="1"/>
        <v>0.88720699037977235</v>
      </c>
      <c r="B63" s="2"/>
      <c r="C63" s="2"/>
      <c r="D63" s="2"/>
    </row>
    <row r="64" spans="1:4" x14ac:dyDescent="0.2">
      <c r="A64" s="2">
        <f t="shared" ca="1" si="1"/>
        <v>0.10212226463389551</v>
      </c>
      <c r="B64" s="2"/>
      <c r="C64" s="2"/>
      <c r="D64" s="2"/>
    </row>
    <row r="65" spans="1:4" x14ac:dyDescent="0.2">
      <c r="A65" s="2">
        <f t="shared" ca="1" si="1"/>
        <v>0.89353321779003358</v>
      </c>
      <c r="B65" s="2"/>
      <c r="C65" s="2"/>
      <c r="D65" s="2"/>
    </row>
    <row r="66" spans="1:4" x14ac:dyDescent="0.2">
      <c r="A66" s="2">
        <f t="shared" ca="1" si="1"/>
        <v>0.74073800675733736</v>
      </c>
      <c r="B66" s="2"/>
      <c r="C66" s="2"/>
      <c r="D66" s="2"/>
    </row>
    <row r="67" spans="1:4" x14ac:dyDescent="0.2">
      <c r="A67" s="2">
        <f t="shared" ca="1" si="1"/>
        <v>0.84468469583137629</v>
      </c>
      <c r="B67" s="2"/>
      <c r="C67" s="2"/>
      <c r="D67" s="2"/>
    </row>
    <row r="68" spans="1:4" x14ac:dyDescent="0.2">
      <c r="A68" s="2">
        <f t="shared" ref="A68:A103" ca="1" si="2">RAND()</f>
        <v>0.83318180535694342</v>
      </c>
      <c r="B68" s="2"/>
      <c r="C68" s="2"/>
      <c r="D68" s="2"/>
    </row>
    <row r="69" spans="1:4" x14ac:dyDescent="0.2">
      <c r="A69" s="2">
        <f t="shared" ca="1" si="2"/>
        <v>0.496381570801667</v>
      </c>
      <c r="B69" s="2"/>
      <c r="C69" s="2"/>
      <c r="D69" s="2"/>
    </row>
    <row r="70" spans="1:4" x14ac:dyDescent="0.2">
      <c r="A70" s="2">
        <f t="shared" ca="1" si="2"/>
        <v>0.12741653341936188</v>
      </c>
      <c r="B70" s="2"/>
      <c r="C70" s="2"/>
      <c r="D70" s="2"/>
    </row>
    <row r="71" spans="1:4" x14ac:dyDescent="0.2">
      <c r="A71" s="2">
        <f t="shared" ca="1" si="2"/>
        <v>0.55379183829641487</v>
      </c>
      <c r="B71" s="2"/>
      <c r="C71" s="2"/>
      <c r="D71" s="2"/>
    </row>
    <row r="72" spans="1:4" x14ac:dyDescent="0.2">
      <c r="A72" s="2">
        <f t="shared" ca="1" si="2"/>
        <v>0.35967577250053562</v>
      </c>
      <c r="B72" s="2"/>
      <c r="C72" s="2"/>
      <c r="D72" s="2"/>
    </row>
    <row r="73" spans="1:4" x14ac:dyDescent="0.2">
      <c r="A73" s="2">
        <f t="shared" ca="1" si="2"/>
        <v>0.86120734150137446</v>
      </c>
      <c r="B73" s="2"/>
      <c r="C73" s="2"/>
      <c r="D73" s="2"/>
    </row>
    <row r="74" spans="1:4" x14ac:dyDescent="0.2">
      <c r="A74" s="2">
        <f t="shared" ca="1" si="2"/>
        <v>0.62779835307990206</v>
      </c>
      <c r="B74" s="2"/>
      <c r="C74" s="2"/>
      <c r="D74" s="2"/>
    </row>
    <row r="75" spans="1:4" x14ac:dyDescent="0.2">
      <c r="A75" s="2">
        <f t="shared" ca="1" si="2"/>
        <v>0.47779042529193738</v>
      </c>
      <c r="B75" s="2"/>
      <c r="C75" s="2"/>
      <c r="D75" s="2"/>
    </row>
    <row r="76" spans="1:4" x14ac:dyDescent="0.2">
      <c r="A76" s="2">
        <f t="shared" ca="1" si="2"/>
        <v>0.77679251873146082</v>
      </c>
      <c r="B76" s="2"/>
      <c r="C76" s="2"/>
      <c r="D76" s="2"/>
    </row>
    <row r="77" spans="1:4" x14ac:dyDescent="0.2">
      <c r="A77" s="2">
        <f t="shared" ca="1" si="2"/>
        <v>0.88392083025179202</v>
      </c>
      <c r="B77" s="2"/>
      <c r="C77" s="2"/>
      <c r="D77" s="2"/>
    </row>
    <row r="78" spans="1:4" x14ac:dyDescent="0.2">
      <c r="A78" s="2">
        <f t="shared" ca="1" si="2"/>
        <v>0.9145817775501377</v>
      </c>
      <c r="B78" s="2"/>
      <c r="C78" s="2"/>
      <c r="D78" s="2"/>
    </row>
    <row r="79" spans="1:4" x14ac:dyDescent="0.2">
      <c r="A79" s="2">
        <f t="shared" ca="1" si="2"/>
        <v>0.50404329658333669</v>
      </c>
      <c r="B79" s="2"/>
      <c r="C79" s="2"/>
      <c r="D79" s="2"/>
    </row>
    <row r="80" spans="1:4" x14ac:dyDescent="0.2">
      <c r="A80" s="2">
        <f t="shared" ca="1" si="2"/>
        <v>0.15858226044862234</v>
      </c>
      <c r="B80" s="2"/>
      <c r="C80" s="2"/>
      <c r="D80" s="2"/>
    </row>
    <row r="81" spans="1:4" x14ac:dyDescent="0.2">
      <c r="A81" s="2">
        <f t="shared" ca="1" si="2"/>
        <v>0.18311390085105073</v>
      </c>
      <c r="B81" s="2"/>
      <c r="C81" s="2"/>
      <c r="D81" s="2"/>
    </row>
    <row r="82" spans="1:4" x14ac:dyDescent="0.2">
      <c r="A82" s="2">
        <f t="shared" ca="1" si="2"/>
        <v>0.55531570627494564</v>
      </c>
      <c r="B82" s="2"/>
      <c r="C82" s="2"/>
      <c r="D82" s="2"/>
    </row>
    <row r="83" spans="1:4" x14ac:dyDescent="0.2">
      <c r="A83" s="2">
        <f t="shared" ca="1" si="2"/>
        <v>0.11038962113591311</v>
      </c>
      <c r="B83" s="2"/>
      <c r="C83" s="2"/>
      <c r="D83" s="2"/>
    </row>
    <row r="84" spans="1:4" x14ac:dyDescent="0.2">
      <c r="A84" s="2">
        <f t="shared" ca="1" si="2"/>
        <v>0.9314658318538771</v>
      </c>
      <c r="B84" s="2"/>
      <c r="C84" s="2"/>
      <c r="D84" s="2"/>
    </row>
    <row r="85" spans="1:4" x14ac:dyDescent="0.2">
      <c r="A85" s="2">
        <f t="shared" ca="1" si="2"/>
        <v>0.27072040841237932</v>
      </c>
      <c r="B85" s="2"/>
      <c r="C85" s="2"/>
      <c r="D85" s="2"/>
    </row>
    <row r="86" spans="1:4" x14ac:dyDescent="0.2">
      <c r="A86" s="2">
        <f t="shared" ca="1" si="2"/>
        <v>0.70119443026069495</v>
      </c>
      <c r="B86" s="2"/>
      <c r="C86" s="2"/>
      <c r="D86" s="2"/>
    </row>
    <row r="87" spans="1:4" x14ac:dyDescent="0.2">
      <c r="A87" s="2">
        <f t="shared" ca="1" si="2"/>
        <v>1.301570298007737E-2</v>
      </c>
      <c r="B87" s="2"/>
      <c r="C87" s="2"/>
      <c r="D87" s="2"/>
    </row>
    <row r="88" spans="1:4" x14ac:dyDescent="0.2">
      <c r="A88" s="2">
        <f t="shared" ca="1" si="2"/>
        <v>0.54955745785161303</v>
      </c>
      <c r="B88" s="2"/>
      <c r="C88" s="2"/>
      <c r="D88" s="2"/>
    </row>
    <row r="89" spans="1:4" x14ac:dyDescent="0.2">
      <c r="A89" s="2">
        <f t="shared" ca="1" si="2"/>
        <v>0.12254138504134338</v>
      </c>
      <c r="B89" s="2"/>
      <c r="C89" s="2"/>
      <c r="D89" s="2"/>
    </row>
    <row r="90" spans="1:4" x14ac:dyDescent="0.2">
      <c r="A90" s="2">
        <f t="shared" ca="1" si="2"/>
        <v>0.68024730226955776</v>
      </c>
      <c r="B90" s="2"/>
      <c r="C90" s="2"/>
      <c r="D90" s="2"/>
    </row>
    <row r="91" spans="1:4" x14ac:dyDescent="0.2">
      <c r="A91" s="2">
        <f t="shared" ca="1" si="2"/>
        <v>0.24989113100731863</v>
      </c>
      <c r="B91" s="2"/>
      <c r="C91" s="2"/>
      <c r="D91" s="2"/>
    </row>
    <row r="92" spans="1:4" x14ac:dyDescent="0.2">
      <c r="A92" s="2">
        <f t="shared" ca="1" si="2"/>
        <v>0.35626339549840902</v>
      </c>
      <c r="B92" s="2"/>
      <c r="C92" s="2"/>
      <c r="D92" s="2"/>
    </row>
    <row r="93" spans="1:4" x14ac:dyDescent="0.2">
      <c r="A93" s="2">
        <f t="shared" ca="1" si="2"/>
        <v>0.81999974392798114</v>
      </c>
      <c r="B93" s="2"/>
      <c r="C93" s="2"/>
      <c r="D93" s="2"/>
    </row>
    <row r="94" spans="1:4" x14ac:dyDescent="0.2">
      <c r="A94" s="2">
        <f t="shared" ca="1" si="2"/>
        <v>5.8949054960678593E-3</v>
      </c>
      <c r="B94" s="2"/>
      <c r="C94" s="2"/>
      <c r="D94" s="2"/>
    </row>
    <row r="95" spans="1:4" x14ac:dyDescent="0.2">
      <c r="A95" s="2">
        <f t="shared" ca="1" si="2"/>
        <v>0.81449320931118585</v>
      </c>
      <c r="B95" s="2"/>
      <c r="C95" s="2"/>
      <c r="D95" s="2"/>
    </row>
    <row r="96" spans="1:4" x14ac:dyDescent="0.2">
      <c r="A96" s="2">
        <f t="shared" ca="1" si="2"/>
        <v>0.23984640389428935</v>
      </c>
      <c r="B96" s="2"/>
      <c r="C96" s="2"/>
      <c r="D96" s="2"/>
    </row>
    <row r="97" spans="1:4" x14ac:dyDescent="0.2">
      <c r="A97" s="2">
        <f t="shared" ca="1" si="2"/>
        <v>7.9841131220826367E-2</v>
      </c>
      <c r="B97" s="2"/>
      <c r="C97" s="2"/>
      <c r="D97" s="2"/>
    </row>
    <row r="98" spans="1:4" x14ac:dyDescent="0.2">
      <c r="A98" s="2">
        <f t="shared" ca="1" si="2"/>
        <v>0.52416654793332296</v>
      </c>
      <c r="B98" s="2"/>
      <c r="C98" s="2"/>
      <c r="D98" s="2"/>
    </row>
    <row r="99" spans="1:4" x14ac:dyDescent="0.2">
      <c r="A99" s="2">
        <f t="shared" ca="1" si="2"/>
        <v>0.7024403206503167</v>
      </c>
      <c r="B99" s="2"/>
      <c r="C99" s="2"/>
      <c r="D99" s="2"/>
    </row>
    <row r="100" spans="1:4" x14ac:dyDescent="0.2">
      <c r="A100" s="2">
        <f t="shared" ca="1" si="2"/>
        <v>0.2462805771262071</v>
      </c>
      <c r="B100" s="2"/>
      <c r="C100" s="2"/>
      <c r="D100" s="2"/>
    </row>
    <row r="101" spans="1:4" x14ac:dyDescent="0.2">
      <c r="A101" s="2">
        <f t="shared" ca="1" si="2"/>
        <v>0.82638732530462067</v>
      </c>
      <c r="B101" s="2"/>
      <c r="C101" s="2"/>
      <c r="D101" s="2"/>
    </row>
    <row r="102" spans="1:4" x14ac:dyDescent="0.2">
      <c r="A102" s="2">
        <f t="shared" ca="1" si="2"/>
        <v>0.94816160174103692</v>
      </c>
      <c r="B102" s="2"/>
      <c r="C102" s="2"/>
      <c r="D102" s="2"/>
    </row>
    <row r="103" spans="1:4" x14ac:dyDescent="0.2">
      <c r="A103" s="2">
        <f t="shared" ca="1" si="2"/>
        <v>0.97055370526080709</v>
      </c>
      <c r="B103" s="2"/>
      <c r="C103" s="2"/>
      <c r="D103" s="2"/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8"/>
  <sheetViews>
    <sheetView tabSelected="1" workbookViewId="0">
      <pane ySplit="3" topLeftCell="A4" activePane="bottomLeft" state="frozen"/>
      <selection pane="bottomLeft" activeCell="F13" sqref="F13"/>
    </sheetView>
  </sheetViews>
  <sheetFormatPr baseColWidth="10" defaultColWidth="8.83203125" defaultRowHeight="15" x14ac:dyDescent="0.2"/>
  <cols>
    <col min="1" max="1" width="45" customWidth="1"/>
    <col min="2" max="2" width="30" customWidth="1"/>
  </cols>
  <sheetData>
    <row r="1" spans="1:2" x14ac:dyDescent="0.2">
      <c r="A1" s="1" t="s">
        <v>23</v>
      </c>
      <c r="B1" s="2"/>
    </row>
    <row r="2" spans="1:2" x14ac:dyDescent="0.2">
      <c r="A2" s="2"/>
      <c r="B2" s="2"/>
    </row>
    <row r="3" spans="1:2" x14ac:dyDescent="0.2">
      <c r="A3" s="1" t="s">
        <v>24</v>
      </c>
      <c r="B3" s="2">
        <v>15</v>
      </c>
    </row>
    <row r="4" spans="1:2" x14ac:dyDescent="0.2">
      <c r="A4" s="1" t="s">
        <v>25</v>
      </c>
      <c r="B4" s="2">
        <v>0.5</v>
      </c>
    </row>
    <row r="5" spans="1:2" x14ac:dyDescent="0.2">
      <c r="A5" s="1" t="s">
        <v>26</v>
      </c>
      <c r="B5" s="2" t="s">
        <v>27</v>
      </c>
    </row>
    <row r="6" spans="1:2" x14ac:dyDescent="0.2">
      <c r="A6" s="1" t="s">
        <v>28</v>
      </c>
      <c r="B6" s="2">
        <f>1-_xlfn.BINOM.DIST(7,15,0.5,TRUE)</f>
        <v>0.5</v>
      </c>
    </row>
    <row r="7" spans="1:2" x14ac:dyDescent="0.2">
      <c r="A7" s="1" t="s">
        <v>29</v>
      </c>
      <c r="B7" s="2">
        <f>1-_xlfn.BINOM.DIST(7,15,0.5,TRUE)</f>
        <v>0.5</v>
      </c>
    </row>
    <row r="8" spans="1:2" x14ac:dyDescent="0.2">
      <c r="A8" s="1" t="s">
        <v>30</v>
      </c>
      <c r="B8" s="2">
        <f>B6*100</f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Q1 - Dice Simulation</vt:lpstr>
      <vt:lpstr>Q2 - Uniform Histogram</vt:lpstr>
      <vt:lpstr>Q7 - Binomial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Ajubhai Ff</cp:lastModifiedBy>
  <dcterms:created xsi:type="dcterms:W3CDTF">2026-09-26T13:36:50Z</dcterms:created>
  <dcterms:modified xsi:type="dcterms:W3CDTF">2026-09-26T21:40:06Z</dcterms:modified>
</cp:coreProperties>
</file>